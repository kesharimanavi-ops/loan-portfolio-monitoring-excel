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8_{01B56EE6-6E2F-41FB-A3B2-F46B1820DF5C}" xr6:coauthVersionLast="47" xr6:coauthVersionMax="47" xr10:uidLastSave="{00000000-0000-0000-0000-000000000000}"/>
  <bookViews>
    <workbookView xWindow="0" yWindow="0" windowWidth="23040" windowHeight="12240" xr2:uid="{37CD37E3-687A-45B7-A997-6401CF5E1540}"/>
  </bookViews>
  <sheets>
    <sheet name="Loan Tracker" sheetId="1" r:id="rId1"/>
    <sheet name="Portfolio Dashbo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R2" i="1"/>
  <c r="R3" i="1"/>
  <c r="R4" i="1"/>
  <c r="Q2" i="1"/>
  <c r="Q3" i="1"/>
  <c r="Q4" i="1"/>
  <c r="O2" i="1"/>
  <c r="S2" i="1" s="1"/>
  <c r="O3" i="1"/>
  <c r="S3" i="1" s="1"/>
  <c r="O4" i="1"/>
  <c r="S4" i="1" s="1"/>
  <c r="M2" i="1"/>
  <c r="M3" i="1"/>
  <c r="M4" i="1"/>
  <c r="G5" i="1"/>
  <c r="B5" i="2" s="1"/>
  <c r="E5" i="2" s="1"/>
  <c r="C5" i="1"/>
  <c r="B3" i="2" s="1"/>
  <c r="E4" i="2" s="1"/>
  <c r="J2" i="1"/>
  <c r="J3" i="1"/>
  <c r="P3" i="1" s="1"/>
  <c r="J4" i="1"/>
  <c r="P4" i="1" s="1"/>
  <c r="H2" i="1"/>
  <c r="H3" i="1"/>
  <c r="H4" i="1"/>
  <c r="T2" i="1" l="1"/>
  <c r="P2" i="1"/>
  <c r="B9" i="2" s="1"/>
  <c r="B8" i="2"/>
  <c r="N3" i="1"/>
  <c r="T3" i="1"/>
  <c r="N4" i="1"/>
  <c r="T4" i="1"/>
  <c r="N2" i="1"/>
  <c r="H5" i="1"/>
  <c r="M5" i="1"/>
  <c r="B6" i="2" s="1"/>
  <c r="N5" i="1" l="1"/>
  <c r="U2" i="1"/>
  <c r="U3" i="1"/>
  <c r="U4" i="1"/>
  <c r="T5" i="1"/>
  <c r="B10" i="2" s="1"/>
  <c r="B4" i="2"/>
  <c r="E6" i="2" s="1"/>
  <c r="B11" i="2" l="1"/>
  <c r="F5" i="1"/>
  <c r="B12" i="2" s="1"/>
</calcChain>
</file>

<file path=xl/sharedStrings.xml><?xml version="1.0" encoding="utf-8"?>
<sst xmlns="http://schemas.openxmlformats.org/spreadsheetml/2006/main" count="50" uniqueCount="45">
  <si>
    <t>Loan ID</t>
  </si>
  <si>
    <t>Borrower</t>
  </si>
  <si>
    <t>Original loan amount</t>
  </si>
  <si>
    <t>L001</t>
  </si>
  <si>
    <t>L002</t>
  </si>
  <si>
    <t>L003</t>
  </si>
  <si>
    <t>Bakery A</t>
  </si>
  <si>
    <t>Clothing shop</t>
  </si>
  <si>
    <t>Delivery Company</t>
  </si>
  <si>
    <t>Loan start date</t>
  </si>
  <si>
    <t>Loan Tenure (Months)</t>
  </si>
  <si>
    <t>Annual Interest Rate (%)</t>
  </si>
  <si>
    <t>Total Principal Repaid</t>
  </si>
  <si>
    <t>Outstanding Principal</t>
  </si>
  <si>
    <t>Next Payment Due Date</t>
  </si>
  <si>
    <t>Payment Status</t>
  </si>
  <si>
    <t>Monitoring Notes</t>
  </si>
  <si>
    <t>Payment Received ?</t>
  </si>
  <si>
    <t>No</t>
  </si>
  <si>
    <t>Next payment due on 01-Nov-2026; Payment not yet received</t>
  </si>
  <si>
    <t>Next payment due on 15-Nov-2026; Payment not yet received</t>
  </si>
  <si>
    <t>Next payment due on 01-Dec-2026; Payment not yet received</t>
  </si>
  <si>
    <t>Principal Repaid (%)</t>
  </si>
  <si>
    <t>Estimated Annual Interest</t>
  </si>
  <si>
    <t>Loan Maturity Date</t>
  </si>
  <si>
    <t>Risk Status</t>
  </si>
  <si>
    <t>Days Overdue</t>
  </si>
  <si>
    <t>Loan Age (Months)</t>
  </si>
  <si>
    <t>Remaining Calender (Months)</t>
  </si>
  <si>
    <t>Outstanding %</t>
  </si>
  <si>
    <t>LOAN PORTFOLIO MONITORING DASHBOARD</t>
  </si>
  <si>
    <t>Total original Loan Amount</t>
  </si>
  <si>
    <t xml:space="preserve">Total Outstanding Principal </t>
  </si>
  <si>
    <t>Portfolio Principal Repaid %</t>
  </si>
  <si>
    <t xml:space="preserve">Total Numbers Of Loan </t>
  </si>
  <si>
    <t>Number Of Overdue Loans</t>
  </si>
  <si>
    <t>Number Of High Risk Loans</t>
  </si>
  <si>
    <t>Portfolio Outstanding  %</t>
  </si>
  <si>
    <t>Weighted Average Annual Interest Rate</t>
  </si>
  <si>
    <t>Portfolio Metrics</t>
  </si>
  <si>
    <t xml:space="preserve">Amount </t>
  </si>
  <si>
    <t xml:space="preserve">Original Loan Amount </t>
  </si>
  <si>
    <t xml:space="preserve">Principal Repaid </t>
  </si>
  <si>
    <t>Share Of Portfolio Exposure (%)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</si>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</sst>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0" fillId="0" borderId="0" xfId="0" applyNumberFormat="1"/>
    <xf numFmtId="0" fontId="1" fillId="0" borderId="0" xfId="0" applyFont="1"/>
    <xf numFmtId="15" fontId="0" fillId="0" borderId="0" xfId="0" applyNumberFormat="1"/>
    <xf numFmtId="9" fontId="0" fillId="0" borderId="0" xfId="0" applyNumberFormat="1"/>
    <xf numFmtId="0" fontId="0" fillId="0" borderId="0" xfId="0" applyNumberFormat="1"/>
    <xf numFmtId="14" fontId="0" fillId="0" borderId="0" xfId="0" applyNumberFormat="1"/>
    <xf numFmtId="10" fontId="0" fillId="0" borderId="0" xfId="0" applyNumberFormat="1"/>
    <xf numFmtId="0" fontId="1" fillId="2" borderId="0" xfId="0" applyFont="1" applyFill="1"/>
    <xf numFmtId="14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4" tint="-0.249977111117893"/>
        </patternFill>
      </fill>
    </dxf>
    <dxf>
      <numFmt numFmtId="19" formatCode="dd/mm/yyyy"/>
    </dxf>
    <dxf>
      <numFmt numFmtId="165" formatCode="&quot;₹&quot;\ #,##0.00"/>
    </dxf>
    <dxf>
      <numFmt numFmtId="19" formatCode="dd/mm/yyyy"/>
    </dxf>
    <dxf>
      <numFmt numFmtId="0" formatCode="General"/>
    </dxf>
    <dxf>
      <numFmt numFmtId="3" formatCode="#,##0"/>
    </dxf>
    <dxf>
      <numFmt numFmtId="165" formatCode="&quot;₹&quot;\ #,##0.00"/>
    </dxf>
    <dxf>
      <numFmt numFmtId="14" formatCode="0.00%"/>
    </dxf>
    <dxf>
      <numFmt numFmtId="14" formatCode="0.00%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5" formatCode="&quot;₹&quot;\ #,##0.00"/>
    </dxf>
    <dxf>
      <numFmt numFmtId="0" formatCode="General"/>
    </dxf>
    <dxf>
      <numFmt numFmtId="20" formatCode="dd/mmm/yy"/>
    </dxf>
    <dxf>
      <numFmt numFmtId="165" formatCode="&quot;₹&quot;\ #,##0.00"/>
    </dxf>
    <dxf>
      <numFmt numFmtId="165" formatCode="&quot;₹&quot;\ #,##0.00"/>
    </dxf>
    <dxf>
      <numFmt numFmtId="13" formatCode="0%"/>
    </dxf>
    <dxf>
      <numFmt numFmtId="13" formatCode="0%"/>
    </dxf>
    <dxf>
      <numFmt numFmtId="20" formatCode="dd/mmm/yy"/>
    </dxf>
    <dxf>
      <numFmt numFmtId="165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Portfolio</a:t>
            </a:r>
            <a:r>
              <a:rPr lang="en-US" b="1" baseline="0"/>
              <a:t> Principal Overview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'Portfolio Dashboard'!$E$3</c:f>
              <c:strCache>
                <c:ptCount val="1"/>
                <c:pt idx="0">
                  <c:v>Amount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'Portfolio Dashboard'!$D$4:$D$6</c:f>
              <c:strCache>
                <c:ptCount val="3"/>
                <c:pt idx="0">
                  <c:v>Original Loan Amount </c:v>
                </c:pt>
                <c:pt idx="1">
                  <c:v>Principal Repaid </c:v>
                </c:pt>
                <c:pt idx="2">
                  <c:v>Outstanding Principal</c:v>
                </c:pt>
              </c:strCache>
            </c:strRef>
          </c:cat>
          <c:val>
            <c:numRef>
              <c:f>'Portfolio Dashboard'!$E$4:$E$6</c:f>
              <c:numCache>
                <c:formatCode>"₹"\ #,##0.00</c:formatCode>
                <c:ptCount val="3"/>
                <c:pt idx="0">
                  <c:v>600000</c:v>
                </c:pt>
                <c:pt idx="1">
                  <c:v>70000</c:v>
                </c:pt>
                <c:pt idx="2">
                  <c:v>530000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2-494E-86CC-45CE661046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9632447"/>
        <c:axId val="129621887"/>
      </c:barChart>
      <c:catAx>
        <c:axId val="12963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1887"/>
        <c:crosses val="autoZero"/>
        <c:auto val="1"/>
        <c:lblAlgn val="ctr"/>
        <c:lblOffset val="100"/>
        <c:noMultiLvlLbl val="0"/>
      </c:catAx>
      <c:valAx>
        <c:axId val="12962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3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599872</xdr:colOff>
      <xdr:row>6</xdr:row>
      <xdr:rowOff>184824</xdr:rowOff>
    </xdr:from>
    <xdr:to>
      <xdr:col>8</xdr:col>
      <xdr:colOff>40531</xdr:colOff>
      <xdr:row>22</xdr:row>
      <xdr:rowOff>16212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DC20078-6597-10B1-1A19-60BD1979E7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7EEEA1-7C30-44D2-8ACF-CB813AD44779}" name="Table1" displayName="Table1" ref="A1:U5" totalsRowCount="1" headerRowDxfId="6">
  <autoFilter ref="A1:U4" xr:uid="{C47EEEA1-7C30-44D2-8ACF-CB813AD44779}"/>
  <tableColumns count="21">
    <tableColumn id="1" xr3:uid="{6FBA3383-91C8-49A4-B98A-409A6F6D8F7F}" name="Loan ID"/>
    <tableColumn id="2" xr3:uid="{C1C38019-618F-4D16-85A4-33C13498F845}" name="Borrower"/>
    <tableColumn id="3" xr3:uid="{146674C1-3185-4449-B8AA-CB77713BCC8B}" name="Original loan amount" totalsRowFunction="custom" dataDxfId="8" totalsRowDxfId="28">
      <totalsRowFormula>SUM(C2:C4)</totalsRowFormula>
    </tableColumn>
    <tableColumn id="4" xr3:uid="{B495A1C6-D6AE-497F-8126-4469A7A028C2}" name="Loan start date" dataDxfId="7" totalsRowDxfId="27"/>
    <tableColumn id="5" xr3:uid="{558CD60A-A66F-48EC-91F8-DFFF32C81230}" name="Loan Tenure (Months)"/>
    <tableColumn id="6" xr3:uid="{A5E04D65-429D-4CE8-8AC5-E99A1137CAAD}" name="Annual Interest Rate (%)" totalsRowFunction="custom" dataDxfId="25" totalsRowDxfId="26">
      <totalsRowFormula>N5/H5</totalsRowFormula>
    </tableColumn>
    <tableColumn id="7" xr3:uid="{2AF50C44-2FA1-4297-B75C-19BB7844F24C}" name="Total Principal Repaid" totalsRowFunction="custom" dataDxfId="23" totalsRowDxfId="24">
      <totalsRowFormula>SUM(G2:G3)</totalsRowFormula>
    </tableColumn>
    <tableColumn id="8" xr3:uid="{852D4665-8C87-46F2-A855-8BC915D58A87}" name="Outstanding Principal" totalsRowFunction="custom" dataDxfId="11" totalsRowDxfId="12">
      <calculatedColumnFormula>C2-G2</calculatedColumnFormula>
      <totalsRowFormula>SUM(H2:H4)</totalsRowFormula>
    </tableColumn>
    <tableColumn id="9" xr3:uid="{3D83DEAE-1EF2-44D3-A1A7-A4100BF58CDC}" name="Next Payment Due Date" dataDxfId="9" totalsRowDxfId="22"/>
    <tableColumn id="10" xr3:uid="{4BD0BEDA-5667-4B86-8446-C5711202AFC9}" name="Payment Status" dataDxfId="10" totalsRowDxfId="21">
      <calculatedColumnFormula>IF(AND(I2&lt;TODAY(),L2="No"),"Overdue","Not Overdue")</calculatedColumnFormula>
    </tableColumn>
    <tableColumn id="11" xr3:uid="{511F04C9-075C-4983-8F71-FCA3BE953260}" name="Monitoring Notes"/>
    <tableColumn id="12" xr3:uid="{CD0E2612-C6F8-4A1C-A115-5D25E563DF04}" name="Payment Received ?"/>
    <tableColumn id="13" xr3:uid="{B940498F-A1C6-42E3-8610-7EBD1BA410AA}" name="Principal Repaid (%)" totalsRowFunction="custom" dataDxfId="14" totalsRowDxfId="13">
      <calculatedColumnFormula>G2/C2</calculatedColumnFormula>
      <totalsRowFormula>G5/C5</totalsRowFormula>
    </tableColumn>
    <tableColumn id="14" xr3:uid="{F0B9EDE4-723D-4EEF-B2CC-29DD8E3A0441}" name="Estimated Annual Interest" totalsRowFunction="custom" dataDxfId="15" totalsRowDxfId="20">
      <calculatedColumnFormula>H2*F2</calculatedColumnFormula>
      <totalsRowFormula>SUM(N2:N4)</totalsRowFormula>
    </tableColumn>
    <tableColumn id="15" xr3:uid="{547ECF98-9124-4C6C-8D0E-934E854A1177}" name="Loan Maturity Date" dataDxfId="19">
      <calculatedColumnFormula>EDATE(D2,E2)</calculatedColumnFormula>
    </tableColumn>
    <tableColumn id="16" xr3:uid="{06173D6D-DBE7-4934-AE63-F91E4D9AC218}" name="Risk Status" dataDxfId="18">
      <calculatedColumnFormula>IF(J2="Overdue","High Risk","Normal")</calculatedColumnFormula>
    </tableColumn>
    <tableColumn id="17" xr3:uid="{CC9494A6-D07C-445B-8402-CB05F0474836}" name="Days Overdue" dataDxfId="17">
      <calculatedColumnFormula>IF(AND(I2&lt;TODAY(),L2="NO"),TODAY()-I2,0)</calculatedColumnFormula>
    </tableColumn>
    <tableColumn id="18" xr3:uid="{C2612DFB-DFF7-42EF-82AB-9EBC21E33786}" name="Loan Age (Months)" dataDxfId="16">
      <calculatedColumnFormula>DATEDIF(D2,TODAY(),"m")</calculatedColumnFormula>
    </tableColumn>
    <tableColumn id="19" xr3:uid="{1933B250-A9BE-4188-AB52-D67911CD6FA9}" name="Remaining Calender (Months)" dataDxfId="5">
      <calculatedColumnFormula>DATEDIF(TODAY(),DATE(2027,4,1),"m")</calculatedColumnFormula>
    </tableColumn>
    <tableColumn id="20" xr3:uid="{8527E558-5FF1-49EC-8FFD-7200AE2B423D}" name="Outstanding %" totalsRowFunction="custom" dataDxfId="3" totalsRowDxfId="4">
      <calculatedColumnFormula>H2/C2</calculatedColumnFormula>
      <totalsRowFormula>H5/C5</totalsRowFormula>
    </tableColumn>
    <tableColumn id="22" xr3:uid="{FCDA7434-3D10-4250-995C-220C55B5187B}" name="Share Of Portfolio Exposure (%)" dataDxfId="2">
      <calculatedColumnFormula>H2/$H$5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9B0DB-BB9A-4A88-9FB1-284437BBB9DE}">
  <dimension ref="A1:U7"/>
  <sheetViews>
    <sheetView tabSelected="1" zoomScale="126" workbookViewId="0">
      <pane ySplit="1" topLeftCell="A2" activePane="bottomLeft" state="frozen"/>
      <selection pane="bottomLeft" activeCell="E7" sqref="E7"/>
    </sheetView>
  </sheetViews>
  <sheetFormatPr defaultRowHeight="14.4" x14ac:dyDescent="0.3"/>
  <cols>
    <col min="1" max="1" width="9.21875" customWidth="1"/>
    <col min="2" max="2" width="15.77734375" customWidth="1"/>
    <col min="3" max="3" width="21.21875" customWidth="1"/>
    <col min="4" max="4" width="15.44140625" customWidth="1"/>
    <col min="5" max="5" width="21.44140625" customWidth="1"/>
    <col min="6" max="6" width="24.33203125" customWidth="1"/>
    <col min="7" max="7" width="21.77734375" customWidth="1"/>
    <col min="8" max="8" width="22.21875" customWidth="1"/>
    <col min="9" max="9" width="23.88671875" customWidth="1"/>
    <col min="10" max="10" width="16.5546875" customWidth="1"/>
    <col min="11" max="11" width="53.109375" customWidth="1"/>
    <col min="12" max="12" width="20.6640625" customWidth="1"/>
    <col min="13" max="13" width="20.109375" customWidth="1"/>
    <col min="14" max="14" width="25.44140625" customWidth="1"/>
    <col min="15" max="15" width="19.44140625" customWidth="1"/>
    <col min="16" max="16" width="13" customWidth="1"/>
    <col min="17" max="17" width="15.109375" customWidth="1"/>
    <col min="18" max="18" width="19" customWidth="1"/>
    <col min="19" max="19" width="27.77734375" customWidth="1"/>
    <col min="20" max="20" width="15.6640625" customWidth="1"/>
    <col min="21" max="21" width="29.44140625" customWidth="1"/>
  </cols>
  <sheetData>
    <row r="1" spans="1:21" x14ac:dyDescent="0.3">
      <c r="A1" s="8" t="s">
        <v>0</v>
      </c>
      <c r="B1" s="8" t="s">
        <v>1</v>
      </c>
      <c r="C1" s="8" t="s">
        <v>2</v>
      </c>
      <c r="D1" s="8" t="s">
        <v>9</v>
      </c>
      <c r="E1" s="8" t="s">
        <v>10</v>
      </c>
      <c r="F1" s="8" t="s">
        <v>11</v>
      </c>
      <c r="G1" s="8" t="s">
        <v>12</v>
      </c>
      <c r="H1" s="8" t="s">
        <v>13</v>
      </c>
      <c r="I1" s="8" t="s">
        <v>14</v>
      </c>
      <c r="J1" s="8" t="s">
        <v>15</v>
      </c>
      <c r="K1" s="8" t="s">
        <v>16</v>
      </c>
      <c r="L1" s="8" t="s">
        <v>17</v>
      </c>
      <c r="M1" s="8" t="s">
        <v>22</v>
      </c>
      <c r="N1" s="8" t="s">
        <v>23</v>
      </c>
      <c r="O1" s="8" t="s">
        <v>24</v>
      </c>
      <c r="P1" s="8" t="s">
        <v>25</v>
      </c>
      <c r="Q1" s="8" t="s">
        <v>26</v>
      </c>
      <c r="R1" s="8" t="s">
        <v>27</v>
      </c>
      <c r="S1" s="8" t="s">
        <v>28</v>
      </c>
      <c r="T1" s="9" t="s">
        <v>29</v>
      </c>
      <c r="U1" s="8" t="s">
        <v>43</v>
      </c>
    </row>
    <row r="2" spans="1:21" x14ac:dyDescent="0.3">
      <c r="A2" t="s">
        <v>3</v>
      </c>
      <c r="B2" t="s">
        <v>6</v>
      </c>
      <c r="C2" s="1">
        <v>100000</v>
      </c>
      <c r="D2" s="6">
        <v>46113</v>
      </c>
      <c r="E2">
        <v>12</v>
      </c>
      <c r="F2" s="4">
        <v>0.1</v>
      </c>
      <c r="G2" s="1">
        <v>20000</v>
      </c>
      <c r="H2" s="1">
        <f t="shared" ref="H2:H4" si="0">C2-G2</f>
        <v>80000</v>
      </c>
      <c r="I2" s="6">
        <v>46327</v>
      </c>
      <c r="J2" t="str">
        <f t="shared" ref="J2:J4" ca="1" si="1">IF(AND(I2&lt;TODAY(),L2="No"),"Overdue","Not Overdue")</f>
        <v>Not Overdue</v>
      </c>
      <c r="K2" t="s">
        <v>19</v>
      </c>
      <c r="L2" t="s">
        <v>18</v>
      </c>
      <c r="M2" s="7">
        <f t="shared" ref="M2:M4" si="2">G2/C2</f>
        <v>0.2</v>
      </c>
      <c r="N2" s="1">
        <f t="shared" ref="N2:N4" si="3">H2*F2</f>
        <v>8000</v>
      </c>
      <c r="O2" s="6">
        <f t="shared" ref="O2:O4" si="4">EDATE(D2,E2)</f>
        <v>46478</v>
      </c>
      <c r="P2" t="str">
        <f t="shared" ref="P2:P4" ca="1" si="5">IF(J2="Overdue","High Risk","Normal")</f>
        <v>Normal</v>
      </c>
      <c r="Q2">
        <f t="shared" ref="Q2:Q4" ca="1" si="6">IF(AND(I2&lt;TODAY(),L2="NO"),TODAY()-I2,0)</f>
        <v>0</v>
      </c>
      <c r="R2" s="5">
        <f t="shared" ref="R2:R4" ca="1" si="7">DATEDIF(D2,TODAY(),"m")</f>
        <v>6</v>
      </c>
      <c r="S2" s="5">
        <f ca="1">MAX(0,(YEAR(O2)-YEAR(TODAY()))*12+MONTH(O2)-MONTH(TODAY()))</f>
        <v>6</v>
      </c>
      <c r="T2" s="7">
        <f t="shared" ref="T2:T4" si="8">H2/C2</f>
        <v>0.8</v>
      </c>
      <c r="U2" s="7">
        <f t="shared" ref="U2:U4" si="9">H2/$H$5</f>
        <v>0.15094339622641509</v>
      </c>
    </row>
    <row r="3" spans="1:21" x14ac:dyDescent="0.3">
      <c r="A3" t="s">
        <v>4</v>
      </c>
      <c r="B3" t="s">
        <v>7</v>
      </c>
      <c r="C3" s="1">
        <v>200000</v>
      </c>
      <c r="D3" s="6">
        <v>46127</v>
      </c>
      <c r="E3">
        <v>24</v>
      </c>
      <c r="F3" s="4">
        <v>0.12</v>
      </c>
      <c r="G3" s="1">
        <v>50000</v>
      </c>
      <c r="H3" s="1">
        <f t="shared" si="0"/>
        <v>150000</v>
      </c>
      <c r="I3" s="6">
        <v>46341</v>
      </c>
      <c r="J3" t="str">
        <f t="shared" ca="1" si="1"/>
        <v>Not Overdue</v>
      </c>
      <c r="K3" t="s">
        <v>20</v>
      </c>
      <c r="L3" t="s">
        <v>18</v>
      </c>
      <c r="M3" s="7">
        <f t="shared" si="2"/>
        <v>0.25</v>
      </c>
      <c r="N3" s="1">
        <f t="shared" si="3"/>
        <v>18000</v>
      </c>
      <c r="O3" s="6">
        <f t="shared" si="4"/>
        <v>46858</v>
      </c>
      <c r="P3" t="str">
        <f t="shared" ca="1" si="5"/>
        <v>Normal</v>
      </c>
      <c r="Q3">
        <f t="shared" ca="1" si="6"/>
        <v>0</v>
      </c>
      <c r="R3" s="5">
        <f t="shared" ca="1" si="7"/>
        <v>6</v>
      </c>
      <c r="S3" s="5">
        <f ca="1">MAX(0,(YEAR(O3)-YEAR(TODAY()))*12+MONTH(O3)-MONTH(TODAY()))</f>
        <v>18</v>
      </c>
      <c r="T3" s="7">
        <f t="shared" si="8"/>
        <v>0.75</v>
      </c>
      <c r="U3" s="7">
        <f t="shared" si="9"/>
        <v>0.28301886792452829</v>
      </c>
    </row>
    <row r="4" spans="1:21" x14ac:dyDescent="0.3">
      <c r="A4" t="s">
        <v>5</v>
      </c>
      <c r="B4" t="s">
        <v>8</v>
      </c>
      <c r="C4" s="1">
        <v>300000</v>
      </c>
      <c r="D4" s="6">
        <v>46143</v>
      </c>
      <c r="E4">
        <v>36</v>
      </c>
      <c r="F4" s="4">
        <v>0.09</v>
      </c>
      <c r="G4" s="1">
        <v>0</v>
      </c>
      <c r="H4" s="1">
        <f t="shared" si="0"/>
        <v>300000</v>
      </c>
      <c r="I4" s="6">
        <v>46357</v>
      </c>
      <c r="J4" t="str">
        <f t="shared" ca="1" si="1"/>
        <v>Not Overdue</v>
      </c>
      <c r="K4" t="s">
        <v>21</v>
      </c>
      <c r="L4" t="s">
        <v>18</v>
      </c>
      <c r="M4" s="7">
        <f t="shared" si="2"/>
        <v>0</v>
      </c>
      <c r="N4" s="1">
        <f t="shared" si="3"/>
        <v>27000</v>
      </c>
      <c r="O4" s="6">
        <f t="shared" si="4"/>
        <v>47239</v>
      </c>
      <c r="P4" t="str">
        <f t="shared" ca="1" si="5"/>
        <v>Normal</v>
      </c>
      <c r="Q4">
        <f t="shared" ca="1" si="6"/>
        <v>0</v>
      </c>
      <c r="R4" s="5">
        <f t="shared" ca="1" si="7"/>
        <v>5</v>
      </c>
      <c r="S4" s="5">
        <f ca="1">MAX(0,(YEAR(O4)-YEAR(TODAY()))*12+MONTH(O4)-MONTH(TODAY()))</f>
        <v>31</v>
      </c>
      <c r="T4" s="7">
        <f t="shared" si="8"/>
        <v>1</v>
      </c>
      <c r="U4" s="7">
        <f t="shared" si="9"/>
        <v>0.56603773584905659</v>
      </c>
    </row>
    <row r="5" spans="1:21" x14ac:dyDescent="0.3">
      <c r="C5" s="1">
        <f>SUM(C2:C4)</f>
        <v>600000</v>
      </c>
      <c r="D5" s="3"/>
      <c r="F5" s="4">
        <f>N5/H5</f>
        <v>0.1</v>
      </c>
      <c r="G5" s="1">
        <f>SUM(G2:G3)</f>
        <v>70000</v>
      </c>
      <c r="H5" s="1">
        <f>SUM(H2:H4)</f>
        <v>530000</v>
      </c>
      <c r="I5" s="3"/>
      <c r="J5" s="5"/>
      <c r="M5" s="7">
        <f>G5/C5</f>
        <v>0.11666666666666667</v>
      </c>
      <c r="N5" s="1">
        <f>SUM(N2:N4)</f>
        <v>53000</v>
      </c>
      <c r="T5" s="7">
        <f>H5/C5</f>
        <v>0.8833333333333333</v>
      </c>
    </row>
    <row r="7" spans="1:21" x14ac:dyDescent="0.3">
      <c r="A7" t="s">
        <v>44</v>
      </c>
    </row>
  </sheetData>
  <conditionalFormatting sqref="J2:J4">
    <cfRule type="containsText" dxfId="1" priority="2" operator="containsText" text="Overdue">
      <formula>NOT(ISERROR(SEARCH("Overdue",J2)))</formula>
    </cfRule>
  </conditionalFormatting>
  <conditionalFormatting sqref="P2:P4">
    <cfRule type="containsText" dxfId="0" priority="1" operator="containsText" text="High risk">
      <formula>NOT(ISERROR(SEARCH("High risk",P2)))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9A7D-3A80-4D0B-805A-F4B67F545C69}">
  <dimension ref="A1:E12"/>
  <sheetViews>
    <sheetView zoomScale="94" zoomScaleNormal="139" workbookViewId="0">
      <selection activeCell="K14" sqref="K14"/>
    </sheetView>
  </sheetViews>
  <sheetFormatPr defaultRowHeight="14.4" x14ac:dyDescent="0.3"/>
  <cols>
    <col min="1" max="1" width="43.6640625" customWidth="1"/>
    <col min="2" max="2" width="13.21875" customWidth="1"/>
    <col min="4" max="4" width="19.5546875" customWidth="1"/>
    <col min="5" max="5" width="20.33203125" customWidth="1"/>
  </cols>
  <sheetData>
    <row r="1" spans="1:5" ht="15.6" x14ac:dyDescent="0.3">
      <c r="A1" s="10" t="s">
        <v>30</v>
      </c>
    </row>
    <row r="3" spans="1:5" x14ac:dyDescent="0.3">
      <c r="A3" t="s">
        <v>31</v>
      </c>
      <c r="B3" s="1">
        <f>'Loan Tracker'!C5</f>
        <v>600000</v>
      </c>
      <c r="D3" s="2" t="s">
        <v>39</v>
      </c>
      <c r="E3" s="2" t="s">
        <v>40</v>
      </c>
    </row>
    <row r="4" spans="1:5" x14ac:dyDescent="0.3">
      <c r="A4" t="s">
        <v>32</v>
      </c>
      <c r="B4" s="1">
        <f>'Loan Tracker'!H5</f>
        <v>530000</v>
      </c>
      <c r="D4" t="s">
        <v>41</v>
      </c>
      <c r="E4" s="1">
        <f>B3</f>
        <v>600000</v>
      </c>
    </row>
    <row r="5" spans="1:5" x14ac:dyDescent="0.3">
      <c r="A5" t="s">
        <v>12</v>
      </c>
      <c r="B5" s="1">
        <f>'Loan Tracker'!G5</f>
        <v>70000</v>
      </c>
      <c r="D5" t="s">
        <v>42</v>
      </c>
      <c r="E5" s="1">
        <f>B5</f>
        <v>70000</v>
      </c>
    </row>
    <row r="6" spans="1:5" x14ac:dyDescent="0.3">
      <c r="A6" t="s">
        <v>33</v>
      </c>
      <c r="B6" s="7">
        <f>'Loan Tracker'!M5</f>
        <v>0.11666666666666667</v>
      </c>
      <c r="D6" t="s">
        <v>13</v>
      </c>
      <c r="E6" s="1">
        <f>B4</f>
        <v>530000</v>
      </c>
    </row>
    <row r="7" spans="1:5" x14ac:dyDescent="0.3">
      <c r="A7" t="s">
        <v>34</v>
      </c>
      <c r="B7">
        <f>COUNTA('Loan Tracker'!A2:A4)</f>
        <v>3</v>
      </c>
    </row>
    <row r="8" spans="1:5" x14ac:dyDescent="0.3">
      <c r="A8" t="s">
        <v>35</v>
      </c>
      <c r="B8">
        <f ca="1">COUNTIF('Loan Tracker'!J2:J4,"Overdue")</f>
        <v>0</v>
      </c>
    </row>
    <row r="9" spans="1:5" x14ac:dyDescent="0.3">
      <c r="A9" t="s">
        <v>36</v>
      </c>
      <c r="B9">
        <f ca="1">COUNTIF('Loan Tracker'!P2:P4,"high risk")</f>
        <v>0</v>
      </c>
    </row>
    <row r="10" spans="1:5" x14ac:dyDescent="0.3">
      <c r="A10" t="s">
        <v>37</v>
      </c>
      <c r="B10" s="7">
        <f>'Loan Tracker'!T5</f>
        <v>0.8833333333333333</v>
      </c>
    </row>
    <row r="11" spans="1:5" x14ac:dyDescent="0.3">
      <c r="A11" t="s">
        <v>23</v>
      </c>
      <c r="B11" s="1">
        <f>'Loan Tracker'!N5</f>
        <v>53000</v>
      </c>
    </row>
    <row r="12" spans="1:5" x14ac:dyDescent="0.3">
      <c r="A12" t="s">
        <v>38</v>
      </c>
      <c r="B12" s="4">
        <f>'Loan Tracker'!F5</f>
        <v>0.1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 Tracker</vt:lpstr>
      <vt:lpstr>Portfolio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Manavi Keshari</dc:creator>
  <cp:lastModifiedBy>Manavi Keshari</cp:lastModifiedBy>
  <dcterms:created xsi:type="dcterms:W3CDTF">2026-10-17T13:53:00Z</dcterms:created>
  <dcterms:modified xsi:type="dcterms:W3CDTF">2026-10-17T20:56:21Z</dcterms:modified>
</cp:coreProperties>
</file>