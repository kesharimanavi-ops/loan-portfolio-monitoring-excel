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240" tabRatio="600" firstSheet="0" activeTab="0" autoFilterDateGrouping="1"/>
  </bookViews>
  <sheets>
    <sheet xmlns:r="http://schemas.openxmlformats.org/officeDocument/2006/relationships" name="Loan Tracker" sheetId="1" state="visible" r:id="rId1"/>
    <sheet xmlns:r="http://schemas.openxmlformats.org/officeDocument/2006/relationships" name="Portfolio Dashboard" sheetId="2" state="visible" r:id="rId2"/>
  </sheets>
  <definedNames>
    <definedName name="_xlnm._FilterDatabase" localSheetId="0" hidden="1">'Loan Tracker'!$A$1:$U$4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₹&quot;\ #,##0.00"/>
    <numFmt numFmtId="165" formatCode="₹#,##0;[Red](₹#,##0);-"/>
    <numFmt numFmtId="166" formatCode="dd-mmm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"/>
      <b val="1"/>
      <color rgb="0017365D"/>
    </font>
    <font>
      <b val="1"/>
      <color rgb="0017365D"/>
    </font>
    <font>
      <i val="1"/>
      <color rgb="00555555"/>
      <sz val="9"/>
    </font>
    <font>
      <name val="Aptos Display"/>
      <b val="1"/>
      <color rgb="00FFFFFF"/>
      <sz val="16"/>
    </font>
    <font>
      <b val="1"/>
      <color rgb="001F2937"/>
      <sz val="11"/>
    </font>
    <font>
      <b val="1"/>
      <color rgb="00FFFFFF"/>
    </font>
    <font>
      <color rgb="001F2937"/>
      <sz val="10"/>
    </font>
    <font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4F7FB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bottom style="medium">
        <color rgb="00FFFFFF"/>
      </bottom>
    </border>
    <border>
      <bottom style="thin">
        <color rgb="00D6DEE8"/>
      </bottom>
    </border>
    <border>
      <top style="medium">
        <color rgb="001F4E78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5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14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4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165" fontId="4" fillId="4" borderId="2" applyAlignment="1" pivotButton="0" quotePrefix="0" xfId="0">
      <alignment vertical="center"/>
    </xf>
    <xf numFmtId="166" fontId="4" fillId="4" borderId="2" applyAlignment="1" pivotButton="0" quotePrefix="0" xfId="0">
      <alignment vertical="center"/>
    </xf>
    <xf numFmtId="1" fontId="4" fillId="4" borderId="2" applyAlignment="1" pivotButton="0" quotePrefix="0" xfId="0">
      <alignment vertical="center"/>
    </xf>
    <xf numFmtId="1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165" fontId="4" fillId="5" borderId="2" applyAlignment="1" pivotButton="0" quotePrefix="0" xfId="0">
      <alignment vertical="center"/>
    </xf>
    <xf numFmtId="166" fontId="4" fillId="5" borderId="2" applyAlignment="1" pivotButton="0" quotePrefix="0" xfId="0">
      <alignment vertical="center"/>
    </xf>
    <xf numFmtId="1" fontId="4" fillId="5" borderId="2" applyAlignment="1" pivotButton="0" quotePrefix="0" xfId="0">
      <alignment vertical="center"/>
    </xf>
    <xf numFmtId="10" fontId="4" fillId="5" borderId="2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165" fontId="5" fillId="6" borderId="3" applyAlignment="1" pivotButton="0" quotePrefix="0" xfId="0">
      <alignment vertical="center" wrapText="1"/>
    </xf>
    <xf numFmtId="166" fontId="5" fillId="6" borderId="3" applyAlignment="1" pivotButton="0" quotePrefix="0" xfId="0">
      <alignment vertical="center" wrapText="1"/>
    </xf>
    <xf numFmtId="1" fontId="5" fillId="6" borderId="3" applyAlignment="1" pivotButton="0" quotePrefix="0" xfId="0">
      <alignment vertical="center" wrapText="1"/>
    </xf>
    <xf numFmtId="10" fontId="5" fillId="6" borderId="3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left" vertical="center"/>
    </xf>
    <xf numFmtId="0" fontId="6" fillId="7" borderId="2" applyAlignment="1" pivotButton="0" quotePrefix="0" xfId="0">
      <alignment vertical="center" wrapText="1"/>
    </xf>
    <xf numFmtId="165" fontId="9" fillId="4" borderId="2" applyAlignment="1" pivotButton="0" quotePrefix="0" xfId="0">
      <alignment horizontal="right" vertical="center"/>
    </xf>
    <xf numFmtId="0" fontId="10" fillId="8" borderId="0" applyAlignment="1" pivotButton="0" quotePrefix="0" xfId="0">
      <alignment wrapText="1"/>
    </xf>
    <xf numFmtId="0" fontId="0" fillId="5" borderId="2" pivotButton="0" quotePrefix="0" xfId="0"/>
    <xf numFmtId="164" fontId="0" fillId="5" borderId="2" pivotButton="0" quotePrefix="0" xfId="0"/>
    <xf numFmtId="0" fontId="0" fillId="4" borderId="2" pivotButton="0" quotePrefix="0" xfId="0"/>
    <xf numFmtId="164" fontId="0" fillId="4" borderId="2" pivotButton="0" quotePrefix="0" xfId="0"/>
    <xf numFmtId="10" fontId="9" fillId="4" borderId="2" applyAlignment="1" pivotButton="0" quotePrefix="0" xfId="0">
      <alignment horizontal="right" vertical="center"/>
    </xf>
    <xf numFmtId="1" fontId="9" fillId="4" borderId="2" applyAlignment="1" pivotButton="0" quotePrefix="0" xfId="0">
      <alignment horizontal="right" vertical="center"/>
    </xf>
    <xf numFmtId="0" fontId="10" fillId="8" borderId="0" pivotButton="0" quotePrefix="0" xfId="0"/>
    <xf numFmtId="0" fontId="11" fillId="9" borderId="0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</dxf>
    <dxf>
      <numFmt numFmtId="19" formatCode="dd/mm/yyyy"/>
    </dxf>
    <dxf>
      <numFmt numFmtId="165" formatCode="&quot;₹&quot;\ #,##0.00"/>
    </dxf>
    <dxf>
      <numFmt numFmtId="19" formatCode="dd/mm/yyyy"/>
    </dxf>
    <dxf>
      <numFmt numFmtId="0" formatCode="General"/>
    </dxf>
    <dxf>
      <numFmt numFmtId="3" formatCode="#,##0"/>
    </dxf>
    <dxf>
      <numFmt numFmtId="165" formatCode="&quot;₹&quot;\ #,##0.00"/>
    </dxf>
    <dxf>
      <numFmt numFmtId="14" formatCode="0.00%"/>
    </dxf>
    <dxf>
      <numFmt numFmtId="14" formatCode="0.00%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&quot;₹&quot;\ #,##0.00"/>
    </dxf>
    <dxf>
      <numFmt numFmtId="0" formatCode="General"/>
    </dxf>
    <dxf>
      <numFmt numFmtId="20" formatCode="dd/mmm/yy"/>
    </dxf>
    <dxf>
      <numFmt numFmtId="165" formatCode="&quot;₹&quot;\ #,##0.00"/>
    </dxf>
    <dxf>
      <numFmt numFmtId="165" formatCode="&quot;₹&quot;\ #,##0.00"/>
    </dxf>
    <dxf>
      <numFmt numFmtId="13" formatCode="0%"/>
    </dxf>
    <dxf>
      <numFmt numFmtId="13" formatCode="0%"/>
    </dxf>
    <dxf>
      <numFmt numFmtId="20" formatCode="dd/mmm/yy"/>
    </dxf>
    <dxf>
      <numFmt numFmtId="165" formatCode="&quot;₹&quot;\ #,##0.00"/>
    </dxf>
    <dxf>
      <font>
        <b val="1"/>
        <color rgb="009C0006"/>
      </font>
      <fill>
        <patternFill patternType="solid">
          <fgColor rgb="00FCE4D6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Principal Overview</a:t>
            </a:r>
          </a:p>
        </rich>
      </tx>
    </title>
    <plotArea>
      <layout/>
      <barChart>
        <barDir val="col"/>
        <grouping val="clustered"/>
        <varyColors val="0"/>
        <ser>
          <idx val="0"/>
          <order val="0"/>
          <tx>
            <strRef>
              <f>'Portfolio Dashboard'!$E$3</f>
              <strCache>
                <ptCount val="1"/>
                <pt idx="0">
                  <v xml:space="preserve">Amount 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'Portfolio Dashboard'!$D$4:$D$6</f>
              <strCache>
                <ptCount val="3"/>
                <pt idx="0">
                  <v xml:space="preserve">Original Loan Amount </v>
                </pt>
                <pt idx="1">
                  <v xml:space="preserve">Principal Repaid </v>
                </pt>
                <pt idx="2">
                  <v>Outstanding Principal</v>
                </pt>
              </strCache>
            </strRef>
          </cat>
          <val>
            <numRef>
              <f>'Portfolio Dashboard'!$E$4:$E$6</f>
              <numCache>
                <formatCode>"₹"\ #,##0.00</formatCode>
                <ptCount val="3"/>
                <pt idx="0">
                  <v>600000</v>
                </pt>
                <pt idx="1">
                  <v>70000</v>
                </pt>
                <pt idx="2">
                  <v>530000</v>
                </pt>
              </numCache>
            </numRef>
          </val>
        </ser>
        <dLbls>
          <showVal val="1"/>
        </dLbls>
        <gapWidth val="219"/>
        <overlap val="-27"/>
        <axId val="129632447"/>
        <axId val="129621887"/>
      </barChart>
      <catAx>
        <axId val="1296324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9621887"/>
        <crosses val="autoZero"/>
        <auto val="1"/>
        <lblAlgn val="ctr"/>
        <lblOffset val="100"/>
        <noMultiLvlLbl val="0"/>
      </catAx>
      <valAx>
        <axId val="129621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₹&quot;\ 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963244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599872</colOff>
      <row>6</row>
      <rowOff>184824</rowOff>
    </from>
    <to>
      <col>8</col>
      <colOff>40531</colOff>
      <row>22</row>
      <rowOff>16212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1:U5" headerRowCount="1" totalsRowCount="1" headerRowDxfId="6">
  <autoFilter ref="A1:U4"/>
  <tableColumns count="21">
    <tableColumn id="1" name="Loan ID"/>
    <tableColumn id="2" name="Borrower"/>
    <tableColumn id="3" name="Original loan amount" totalsRowFunction="custom" dataDxfId="8" totalsRowDxfId="28">
      <totalsRowFormula>SUM(C2:C4)</totalsRowFormula>
    </tableColumn>
    <tableColumn id="4" name="Loan start date" dataDxfId="7" totalsRowDxfId="27"/>
    <tableColumn id="5" name="Loan Tenure (Months)"/>
    <tableColumn id="6" name="Annual Interest Rate (%)" totalsRowFunction="custom" dataDxfId="25" totalsRowDxfId="26">
      <totalsRowFormula>N5/H5</totalsRowFormula>
    </tableColumn>
    <tableColumn id="7" name="Total Principal Repaid" totalsRowFunction="custom" dataDxfId="23" totalsRowDxfId="24">
      <totalsRowFormula>SUM(G2:G3)</totalsRowFormula>
    </tableColumn>
    <tableColumn id="8" name="Outstanding Principal" totalsRowFunction="custom" dataDxfId="11" totalsRowDxfId="12">
      <calculatedColumnFormula>C2-G2</calculatedColumnFormula>
      <totalsRowFormula>SUM(H2:H4)</totalsRowFormula>
    </tableColumn>
    <tableColumn id="9" name="Next Payment Due Date" dataDxfId="9" totalsRowDxfId="22"/>
    <tableColumn id="10" name="Payment Status" dataDxfId="10" totalsRowDxfId="21">
      <calculatedColumnFormula>IF(AND(I2&lt;TODAY(),L2="No"),"Overdue","Not Overdue")</calculatedColumnFormula>
    </tableColumn>
    <tableColumn id="11" name="Monitoring Notes"/>
    <tableColumn id="12" name="Payment Received ?"/>
    <tableColumn id="13" name="Principal Repaid (%)" totalsRowFunction="custom" dataDxfId="14" totalsRowDxfId="13">
      <calculatedColumnFormula>G2/C2</calculatedColumnFormula>
      <totalsRowFormula>G5/C5</totalsRowFormula>
    </tableColumn>
    <tableColumn id="14" name="Estimated Annual Interest" totalsRowFunction="custom" dataDxfId="15" totalsRowDxfId="20">
      <calculatedColumnFormula>H2*F2</calculatedColumnFormula>
      <totalsRowFormula>SUM(N2:N4)</totalsRowFormula>
    </tableColumn>
    <tableColumn id="15" name="Loan Maturity Date" dataDxfId="19">
      <calculatedColumnFormula>EDATE(D2,E2)</calculatedColumnFormula>
    </tableColumn>
    <tableColumn id="16" name="Risk Status" dataDxfId="18">
      <calculatedColumnFormula>IF(J2="Overdue","High Risk","Normal")</calculatedColumnFormula>
    </tableColumn>
    <tableColumn id="17" name="Days Overdue" dataDxfId="17">
      <calculatedColumnFormula>IF(AND(I2&lt;TODAY(),L2="NO"),TODAY()-I2,0)</calculatedColumnFormula>
    </tableColumn>
    <tableColumn id="18" name="Loan Age (Months)" dataDxfId="16">
      <calculatedColumnFormula>DATEDIF(D2,TODAY(),"m")</calculatedColumnFormula>
    </tableColumn>
    <tableColumn id="19" name="Remaining Calender (Months)" dataDxfId="5">
      <calculatedColumnFormula>DATEDIF(TODAY(),DATE(2027,4,1),"m")</calculatedColumnFormula>
    </tableColumn>
    <tableColumn id="20" name="Outstanding %" totalsRowFunction="custom" dataDxfId="3" totalsRowDxfId="4">
      <calculatedColumnFormula>H2/C2</calculatedColumnFormula>
      <totalsRowFormula>H5/C5</totalsRowFormula>
    </tableColumn>
    <tableColumn id="22" name="Share Of Portfolio Exposure (%)" dataDxfId="2">
      <calculatedColumnFormula>H2/$H$5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tabSelected="1" zoomScale="126" workbookViewId="0">
      <pane ySplit="1" topLeftCell="A2" activePane="bottomLeft" state="frozen"/>
      <selection pane="bottomLeft" activeCell="E7" sqref="E7"/>
    </sheetView>
  </sheetViews>
  <sheetFormatPr baseColWidth="8" defaultRowHeight="14.4"/>
  <cols>
    <col width="11" customWidth="1" style="5" min="1" max="1"/>
    <col width="22" customWidth="1" style="5" min="2" max="2"/>
    <col width="19" customWidth="1" style="5" min="3" max="3"/>
    <col width="16" customWidth="1" style="5" min="4" max="4"/>
    <col width="17" customWidth="1" style="5" min="5" max="5"/>
    <col width="18" customWidth="1" style="5" min="6" max="6"/>
    <col width="20" customWidth="1" style="5" min="7" max="7"/>
    <col width="20" customWidth="1" style="5" min="8" max="8"/>
    <col width="20" customWidth="1" style="5" min="9" max="9"/>
    <col width="17" customWidth="1" style="5" min="10" max="10"/>
    <col width="48" customWidth="1" style="5" min="11" max="11"/>
    <col width="18" customWidth="1" style="5" min="12" max="12"/>
    <col width="17" customWidth="1" style="5" min="13" max="13"/>
    <col width="20" customWidth="1" style="5" min="14" max="14"/>
    <col width="18" customWidth="1" style="5" min="15" max="15"/>
    <col width="15" customWidth="1" style="5" min="16" max="16"/>
    <col width="14" customWidth="1" style="5" min="17" max="17"/>
    <col width="17" customWidth="1" style="5" min="18" max="18"/>
    <col width="21" customWidth="1" style="5" min="19" max="19"/>
    <col width="15" customWidth="1" style="5" min="20" max="20"/>
    <col width="22" customWidth="1" style="5" min="21" max="21"/>
  </cols>
  <sheetData>
    <row r="1" ht="38" customHeight="1" s="5">
      <c r="A1" s="11" t="inlineStr">
        <is>
          <t>Loan ID</t>
        </is>
      </c>
      <c r="B1" s="11" t="inlineStr">
        <is>
          <t>Borrower</t>
        </is>
      </c>
      <c r="C1" s="11" t="inlineStr">
        <is>
          <t>Original loan amount</t>
        </is>
      </c>
      <c r="D1" s="11" t="inlineStr">
        <is>
          <t>Loan start date</t>
        </is>
      </c>
      <c r="E1" s="11" t="inlineStr">
        <is>
          <t>Loan Tenure (Months)</t>
        </is>
      </c>
      <c r="F1" s="11" t="inlineStr">
        <is>
          <t>Annual Interest Rate (%)</t>
        </is>
      </c>
      <c r="G1" s="11" t="inlineStr">
        <is>
          <t>Total Principal Repaid</t>
        </is>
      </c>
      <c r="H1" s="11" t="inlineStr">
        <is>
          <t>Outstanding Principal</t>
        </is>
      </c>
      <c r="I1" s="11" t="inlineStr">
        <is>
          <t>Next Payment Due Date</t>
        </is>
      </c>
      <c r="J1" s="11" t="inlineStr">
        <is>
          <t>Payment Status</t>
        </is>
      </c>
      <c r="K1" s="11" t="inlineStr">
        <is>
          <t>Monitoring Notes</t>
        </is>
      </c>
      <c r="L1" s="11" t="inlineStr">
        <is>
          <t>Payment Received?</t>
        </is>
      </c>
      <c r="M1" s="11" t="inlineStr">
        <is>
          <t>Principal Repaid (%)</t>
        </is>
      </c>
      <c r="N1" s="11" t="inlineStr">
        <is>
          <t>Estimated Annual Interest</t>
        </is>
      </c>
      <c r="O1" s="11" t="inlineStr">
        <is>
          <t>Loan Maturity Date</t>
        </is>
      </c>
      <c r="P1" s="11" t="inlineStr">
        <is>
          <t>Risk Status</t>
        </is>
      </c>
      <c r="Q1" s="11" t="inlineStr">
        <is>
          <t>Days Overdue</t>
        </is>
      </c>
      <c r="R1" s="11" t="inlineStr">
        <is>
          <t>Loan Age (Months)</t>
        </is>
      </c>
      <c r="S1" s="11" t="inlineStr">
        <is>
          <t>Remaining Calendar Months</t>
        </is>
      </c>
      <c r="T1" s="12" t="inlineStr">
        <is>
          <t>Outstanding %</t>
        </is>
      </c>
      <c r="U1" s="11" t="inlineStr">
        <is>
          <t>Share Of Portfolio Exposure (%)</t>
        </is>
      </c>
    </row>
    <row r="2" ht="34" customHeight="1" s="5">
      <c r="A2" s="13" t="inlineStr">
        <is>
          <t>L001</t>
        </is>
      </c>
      <c r="B2" s="14" t="inlineStr">
        <is>
          <t>Bakery A</t>
        </is>
      </c>
      <c r="C2" s="15" t="n">
        <v>100000</v>
      </c>
      <c r="D2" s="16" t="n">
        <v>46113</v>
      </c>
      <c r="E2" s="17" t="n">
        <v>12</v>
      </c>
      <c r="F2" s="18" t="n">
        <v>0.1</v>
      </c>
      <c r="G2" s="15" t="n">
        <v>20000</v>
      </c>
      <c r="H2" s="15">
        <f>C2-G2</f>
        <v/>
      </c>
      <c r="I2" s="16" t="n">
        <v>46327</v>
      </c>
      <c r="J2" s="13">
        <f>IF(AND(I2&lt;TODAY(),UPPER(L2)="NO"),"Overdue","Not Overdue")</f>
        <v/>
      </c>
      <c r="K2" s="14">
        <f>IF(J2="Overdue","Payment overdue by "&amp;Q2&amp;" days; follow up with borrower.",IF(UPPER(L2)="YES","Payment marked received; verify receipt and update principal repaid.","Next payment due on "&amp;TEXT(I2,"dd-mmm-yyyy")&amp;"; payment not yet marked received."))</f>
        <v/>
      </c>
      <c r="L2" s="13" t="inlineStr">
        <is>
          <t>No</t>
        </is>
      </c>
      <c r="M2" s="18">
        <f>IFERROR(G2/C2,0)</f>
        <v/>
      </c>
      <c r="N2" s="15">
        <f>H2*F2</f>
        <v/>
      </c>
      <c r="O2" s="16">
        <f>EDATE(D2,E2)</f>
        <v/>
      </c>
      <c r="P2" s="13">
        <f>IF(J2="Overdue","High Risk","Normal")</f>
        <v/>
      </c>
      <c r="Q2" s="17">
        <f>IF(AND(I2&lt;TODAY(),UPPER(L2)="NO"),TODAY()-I2,0)</f>
        <v/>
      </c>
      <c r="R2" s="17">
        <f>IFERROR(DATEDIF(D2,TODAY(),"m"),0)</f>
        <v/>
      </c>
      <c r="S2" s="17">
        <f>MAX(0,(YEAR(O2)-YEAR(TODAY()))*12+MONTH(O2)-MONTH(TODAY()))</f>
        <v/>
      </c>
      <c r="T2" s="18">
        <f>IFERROR(H2/C2,0)</f>
        <v/>
      </c>
      <c r="U2" s="18">
        <f>IFERROR(H2/$H$5,0)</f>
        <v/>
      </c>
    </row>
    <row r="3" ht="34" customHeight="1" s="5">
      <c r="A3" s="19" t="inlineStr">
        <is>
          <t>L002</t>
        </is>
      </c>
      <c r="B3" s="20" t="inlineStr">
        <is>
          <t>Clothing shop</t>
        </is>
      </c>
      <c r="C3" s="21" t="n">
        <v>200000</v>
      </c>
      <c r="D3" s="22" t="n">
        <v>46127</v>
      </c>
      <c r="E3" s="23" t="n">
        <v>24</v>
      </c>
      <c r="F3" s="24" t="n">
        <v>0.12</v>
      </c>
      <c r="G3" s="21" t="n">
        <v>50000</v>
      </c>
      <c r="H3" s="21">
        <f>C3-G3</f>
        <v/>
      </c>
      <c r="I3" s="22" t="n">
        <v>46341</v>
      </c>
      <c r="J3" s="19">
        <f>IF(AND(I3&lt;TODAY(),UPPER(L3)="NO"),"Overdue","Not Overdue")</f>
        <v/>
      </c>
      <c r="K3" s="20">
        <f>IF(J3="Overdue","Payment overdue by "&amp;Q3&amp;" days; follow up with borrower.",IF(UPPER(L3)="YES","Payment marked received; verify receipt and update principal repaid.","Next payment due on "&amp;TEXT(I3,"dd-mmm-yyyy")&amp;"; payment not yet marked received."))</f>
        <v/>
      </c>
      <c r="L3" s="19" t="inlineStr">
        <is>
          <t>No</t>
        </is>
      </c>
      <c r="M3" s="24">
        <f>IFERROR(G3/C3,0)</f>
        <v/>
      </c>
      <c r="N3" s="21">
        <f>H3*F3</f>
        <v/>
      </c>
      <c r="O3" s="22">
        <f>EDATE(D3,E3)</f>
        <v/>
      </c>
      <c r="P3" s="19">
        <f>IF(J3="Overdue","High Risk","Normal")</f>
        <v/>
      </c>
      <c r="Q3" s="23">
        <f>IF(AND(I3&lt;TODAY(),UPPER(L3)="NO"),TODAY()-I3,0)</f>
        <v/>
      </c>
      <c r="R3" s="23">
        <f>IFERROR(DATEDIF(D3,TODAY(),"m"),0)</f>
        <v/>
      </c>
      <c r="S3" s="23">
        <f>MAX(0,(YEAR(O3)-YEAR(TODAY()))*12+MONTH(O3)-MONTH(TODAY()))</f>
        <v/>
      </c>
      <c r="T3" s="24">
        <f>IFERROR(H3/C3,0)</f>
        <v/>
      </c>
      <c r="U3" s="24">
        <f>IFERROR(H3/$H$5,0)</f>
        <v/>
      </c>
    </row>
    <row r="4" ht="34" customHeight="1" s="5">
      <c r="A4" s="13" t="inlineStr">
        <is>
          <t>L003</t>
        </is>
      </c>
      <c r="B4" s="14" t="inlineStr">
        <is>
          <t>Delivery Company</t>
        </is>
      </c>
      <c r="C4" s="15" t="n">
        <v>300000</v>
      </c>
      <c r="D4" s="16" t="n">
        <v>46143</v>
      </c>
      <c r="E4" s="17" t="n">
        <v>36</v>
      </c>
      <c r="F4" s="18" t="n">
        <v>0.09</v>
      </c>
      <c r="G4" s="15" t="n">
        <v>0</v>
      </c>
      <c r="H4" s="15">
        <f>C4-G4</f>
        <v/>
      </c>
      <c r="I4" s="16" t="n">
        <v>46357</v>
      </c>
      <c r="J4" s="13">
        <f>IF(AND(I4&lt;TODAY(),UPPER(L4)="NO"),"Overdue","Not Overdue")</f>
        <v/>
      </c>
      <c r="K4" s="14">
        <f>IF(J4="Overdue","Payment overdue by "&amp;Q4&amp;" days; follow up with borrower.",IF(UPPER(L4)="YES","Payment marked received; verify receipt and update principal repaid.","Next payment due on "&amp;TEXT(I4,"dd-mmm-yyyy")&amp;"; payment not yet marked received."))</f>
        <v/>
      </c>
      <c r="L4" s="13" t="inlineStr">
        <is>
          <t>No</t>
        </is>
      </c>
      <c r="M4" s="18">
        <f>IFERROR(G4/C4,0)</f>
        <v/>
      </c>
      <c r="N4" s="15">
        <f>H4*F4</f>
        <v/>
      </c>
      <c r="O4" s="16">
        <f>EDATE(D4,E4)</f>
        <v/>
      </c>
      <c r="P4" s="13">
        <f>IF(J4="Overdue","High Risk","Normal")</f>
        <v/>
      </c>
      <c r="Q4" s="17">
        <f>IF(AND(I4&lt;TODAY(),UPPER(L4)="NO"),TODAY()-I4,0)</f>
        <v/>
      </c>
      <c r="R4" s="17">
        <f>IFERROR(DATEDIF(D4,TODAY(),"m"),0)</f>
        <v/>
      </c>
      <c r="S4" s="17">
        <f>MAX(0,(YEAR(O4)-YEAR(TODAY()))*12+MONTH(O4)-MONTH(TODAY()))</f>
        <v/>
      </c>
      <c r="T4" s="18">
        <f>IFERROR(H4/C4,0)</f>
        <v/>
      </c>
      <c r="U4" s="18">
        <f>IFERROR(H4/$H$5,0)</f>
        <v/>
      </c>
    </row>
    <row r="5" ht="25" customHeight="1" s="5">
      <c r="A5" s="25" t="n"/>
      <c r="B5" s="25" t="inlineStr">
        <is>
          <t>PORTFOLIO TOTALS</t>
        </is>
      </c>
      <c r="C5" s="26">
        <f>SUM(C2:C4)</f>
        <v/>
      </c>
      <c r="D5" s="27" t="n"/>
      <c r="E5" s="28" t="n"/>
      <c r="F5" s="29">
        <f>N5/H5</f>
        <v/>
      </c>
      <c r="G5" s="26">
        <f>SUM(G2:G4)</f>
        <v/>
      </c>
      <c r="H5" s="26">
        <f>SUM(H2:H4)</f>
        <v/>
      </c>
      <c r="I5" s="27" t="n"/>
      <c r="J5" s="25" t="n"/>
      <c r="K5" s="25" t="n"/>
      <c r="L5" s="25" t="n"/>
      <c r="M5" s="29">
        <f>IFERROR(G5/C5,0)</f>
        <v/>
      </c>
      <c r="N5" s="26">
        <f>SUM(N2:N4)</f>
        <v/>
      </c>
      <c r="O5" s="27" t="n"/>
      <c r="P5" s="25" t="n"/>
      <c r="Q5" s="28" t="n"/>
      <c r="R5" s="28" t="n"/>
      <c r="S5" s="28" t="n"/>
      <c r="T5" s="29">
        <f>IFERROR(H5/C5,0)</f>
        <v/>
      </c>
      <c r="U5" s="29" t="n"/>
    </row>
    <row r="7" ht="32" customHeight="1" s="5">
      <c r="A7" s="30" t="inlineStr">
        <is>
          <t>Model assumptions:</t>
        </is>
      </c>
      <c r="B7" s="31" t="inlineStr">
        <is>
          <t>Illustrative data only. Estimated annual interest = current outstanding principal × annual rate; actual interest depends on loan terms and repayment timing.</t>
        </is>
      </c>
    </row>
  </sheetData>
  <autoFilter ref="A1:U4"/>
  <mergeCells count="1">
    <mergeCell ref="B7:U7"/>
  </mergeCells>
  <conditionalFormatting sqref="J2:J4">
    <cfRule type="expression" priority="3" dxfId="29">
      <formula>$J2="Overdue"</formula>
    </cfRule>
  </conditionalFormatting>
  <conditionalFormatting sqref="P2:P4">
    <cfRule type="expression" priority="4" dxfId="29">
      <formula>$P2="High Risk"</formula>
    </cfRule>
  </conditionalFormatting>
  <conditionalFormatting sqref="Q2:Q4">
    <cfRule type="expression" priority="5" dxfId="30">
      <formula>$Q2&gt;0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zoomScale="94" zoomScaleNormal="139" workbookViewId="0">
      <selection activeCell="K14" sqref="K14"/>
    </sheetView>
  </sheetViews>
  <sheetFormatPr baseColWidth="8" defaultRowHeight="14.4"/>
  <cols>
    <col width="39" customWidth="1" style="5" min="1" max="1"/>
    <col width="20" customWidth="1" style="5" min="2" max="2"/>
    <col width="3" customWidth="1" style="5" min="3" max="3"/>
    <col width="28" customWidth="1" style="5" min="4" max="4"/>
    <col width="22" customWidth="1" style="5" min="5" max="5"/>
  </cols>
  <sheetData>
    <row r="1" ht="34" customHeight="1" s="5">
      <c r="A1" s="32" t="inlineStr">
        <is>
          <t>CREDIT PORTFOLIO MONITORING DASHBOARD</t>
        </is>
      </c>
    </row>
    <row r="3" ht="24" customHeight="1" s="5">
      <c r="A3" s="33" t="inlineStr">
        <is>
          <t>Total Original Loan Amount</t>
        </is>
      </c>
      <c r="B3" s="34">
        <f>'Loan Tracker'!C5</f>
        <v/>
      </c>
      <c r="D3" s="35" t="inlineStr">
        <is>
          <t>Portfolio Metric</t>
        </is>
      </c>
      <c r="E3" s="35" t="inlineStr">
        <is>
          <t>Amount (₹)</t>
        </is>
      </c>
    </row>
    <row r="4" ht="24" customHeight="1" s="5">
      <c r="A4" s="33" t="inlineStr">
        <is>
          <t>Total Outstanding Principal</t>
        </is>
      </c>
      <c r="B4" s="34">
        <f>'Loan Tracker'!H5</f>
        <v/>
      </c>
      <c r="D4" s="36" t="inlineStr">
        <is>
          <t>Original Loan Amount</t>
        </is>
      </c>
      <c r="E4" s="37">
        <f>B3</f>
        <v/>
      </c>
    </row>
    <row r="5" ht="24" customHeight="1" s="5">
      <c r="A5" s="33" t="inlineStr">
        <is>
          <t>Total Principal Repaid</t>
        </is>
      </c>
      <c r="B5" s="34">
        <f>'Loan Tracker'!G5</f>
        <v/>
      </c>
      <c r="D5" s="38" t="inlineStr">
        <is>
          <t>Principal Repaid</t>
        </is>
      </c>
      <c r="E5" s="39">
        <f>B5</f>
        <v/>
      </c>
    </row>
    <row r="6" ht="24" customHeight="1" s="5">
      <c r="A6" s="33" t="inlineStr">
        <is>
          <t>Portfolio Principal Repaid (%)</t>
        </is>
      </c>
      <c r="B6" s="40">
        <f>'Loan Tracker'!M5</f>
        <v/>
      </c>
      <c r="D6" s="36" t="inlineStr">
        <is>
          <t>Outstanding Principal</t>
        </is>
      </c>
      <c r="E6" s="37">
        <f>B4</f>
        <v/>
      </c>
    </row>
    <row r="7" ht="24" customHeight="1" s="5">
      <c r="A7" s="33" t="inlineStr">
        <is>
          <t>Number of Loans</t>
        </is>
      </c>
      <c r="B7" s="41">
        <f>COUNTA('Loan Tracker'!A2:A4)</f>
        <v/>
      </c>
    </row>
    <row r="8" ht="24" customHeight="1" s="5">
      <c r="A8" s="33" t="inlineStr">
        <is>
          <t>Number of Overdue Loans</t>
        </is>
      </c>
      <c r="B8" s="41">
        <f>COUNTIF('Loan Tracker'!J2:J4,"Overdue")</f>
        <v/>
      </c>
      <c r="D8" s="42" t="inlineStr">
        <is>
          <t>Interpretation</t>
        </is>
      </c>
    </row>
    <row r="9" ht="24" customHeight="1" s="5">
      <c r="A9" s="33" t="inlineStr">
        <is>
          <t>Number of High-Risk Loans</t>
        </is>
      </c>
      <c r="B9" s="41">
        <f>COUNTIF('Loan Tracker'!P2:P4,"High Risk")</f>
        <v/>
      </c>
      <c r="D9" s="43" t="inlineStr">
        <is>
          <t>Outstanding principal is 88.33% of original lending. Delivery Company C represents the largest share of current exposure (56.60%), so concentration and repayment capacity merit review.</t>
        </is>
      </c>
    </row>
    <row r="10" ht="24" customHeight="1" s="5">
      <c r="A10" s="33" t="inlineStr">
        <is>
          <t>Portfolio Outstanding (%)</t>
        </is>
      </c>
      <c r="B10" s="40">
        <f>'Loan Tracker'!T5</f>
        <v/>
      </c>
    </row>
    <row r="11" ht="24" customHeight="1" s="5">
      <c r="A11" s="33" t="inlineStr">
        <is>
          <t>Estimated Annual Interest*</t>
        </is>
      </c>
      <c r="B11" s="34">
        <f>'Loan Tracker'!N5</f>
        <v/>
      </c>
    </row>
    <row r="12" ht="24" customHeight="1" s="5">
      <c r="A12" s="33" t="inlineStr">
        <is>
          <t>Weighted Average Annual Interest Rate*</t>
        </is>
      </c>
      <c r="B12" s="40">
        <f>'Loan Tracker'!F5</f>
        <v/>
      </c>
    </row>
    <row r="14" ht="28" customHeight="1" s="5">
      <c r="A14" s="44" t="inlineStr">
        <is>
          <t>*Simplified estimates based on illustrative data; not a lending decision or a contractual interest calculation.</t>
        </is>
      </c>
    </row>
  </sheetData>
  <mergeCells count="3">
    <mergeCell ref="D9:E11"/>
    <mergeCell ref="A1:E1"/>
    <mergeCell ref="A14:E1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Manavi Keshari</dc:creator>
  <dc:title xmlns:dc="http://purl.org/dc/elements/1.1/">Credit Portfolio Monitoring Project</dc:title>
  <dc:description xmlns:dc="http://purl.org/dc/elements/1.1/">Beginner learning project using fictional loan data and simplified assumptions.</dc:description>
  <dc:subject xmlns:dc="http://purl.org/dc/elements/1.1/">Illustrative Excel loan portfolio monitoring dashboard</dc:subject>
  <dcterms:created xmlns:dcterms="http://purl.org/dc/terms/" xmlns:xsi="http://www.w3.org/2001/XMLSchema-instance" xsi:type="dcterms:W3CDTF">2026-10-17T13:53:00Z</dcterms:created>
  <dcterms:modified xmlns:dcterms="http://purl.org/dc/terms/" xmlns:xsi="http://www.w3.org/2001/XMLSchema-instance" xsi:type="dcterms:W3CDTF">2026-10-17T21:05:50Z</dcterms:modified>
  <cp:lastModifiedBy>Manavi Keshari</cp:lastModifiedBy>
</cp:coreProperties>
</file>